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42f1374dd47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" sheetId="1" r:id="R51d7c238e11f4d75"/>
    <x:sheet xmlns:r="http://schemas.openxmlformats.org/officeDocument/2006/relationships" name="Results" sheetId="2" r:id="Rc0322067ca1b41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@"/>
    <x:numFmt numFmtId="201" formatCode="dd mmm yyyy"/>
    <x:numFmt numFmtId="202" formatCode="#,##0"/>
    <x:numFmt numFmtId="203" formatCode="#,##0.00;[Red](#,##0.00);0.00"/>
    <x:numFmt numFmtId="204" formatCode="0.0"/>
    <x:numFmt numFmtId="205" formatCode="0.0%"/>
    <x:numFmt numFmtId="206" formatCode="0.0000"/>
  </x:numFmts>
  <x:fonts count="5">
    <x:font>
      <x:sz val="11"/>
      <x:name val="Carlito"/>
    </x:font>
    <x:font>
      <x:sz val="11"/>
      <x:color rgb="FF07364B"/>
      <x:name val="Arial"/>
    </x:font>
    <x:font>
      <x:b/>
      <x:sz val="16"/>
      <x:color rgb="FF07364B"/>
      <x:name val="Arial"/>
    </x:font>
    <x:font>
      <x:b/>
      <x:sz val="11"/>
      <x:color rgb="FF07364B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1E4DF"/>
      </x:patternFill>
    </x:fill>
    <x:fill>
      <x:patternFill patternType="solid">
        <x:fgColor rgb="FFFFF2CC"/>
      </x:patternFill>
    </x:fill>
    <x:fill>
      <x:patternFill patternType="solid">
        <x:fgColor rgb="FF07364B"/>
      </x:patternFill>
    </x:fill>
    <x:fill>
      <x:patternFill patternType="solid">
        <x:fgColor rgb="FFE2F0E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7F91"/>
      </x:bottom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horizontal="right" vertical="center" wrapText="1"/>
    </x:xf>
    <x:xf numFmtId="204" fontId="1" fillId="3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right" vertical="center" wrapText="1"/>
    </x:xf>
    <x:xf numFmtId="203" fontId="1" fillId="5" borderId="0" xfId="0" applyNumberFormat="1" applyFont="1" applyFill="1" applyBorder="1" applyAlignment="1">
      <x:alignment horizontal="right" vertical="center" wrapText="1"/>
    </x:xf>
    <x:xf numFmtId="205" fontId="1" fillId="5" borderId="0" xfId="0" applyNumberFormat="1" applyFont="1" applyFill="1" applyBorder="1" applyAlignment="1">
      <x:alignment horizontal="right" vertical="center" wrapText="1"/>
    </x:xf>
    <x:xf numFmtId="200" fontId="1" fillId="5" borderId="0" xfId="0" applyNumberFormat="1" applyFont="1" applyFill="1" applyBorder="1" applyAlignment="1">
      <x:alignment horizontal="right" vertical="center" wrapText="1"/>
    </x:xf>
    <x:xf numFmtId="200" fontId="1" fillId="5" borderId="0" xfId="0" applyNumberFormat="1" applyFont="1" applyFill="1" applyBorder="1" applyAlignment="1">
      <x:alignment horizontal="left" vertical="center" wrapText="1"/>
    </x:xf>
    <x:xf numFmtId="201" fontId="1" fillId="5" borderId="0" xfId="0" applyNumberFormat="1" applyFont="1" applyFill="1" applyBorder="1" applyAlignment="1">
      <x:alignment horizontal="right" vertical="center" wrapText="1"/>
    </x:xf>
    <x:xf numFmtId="202" fontId="1" fillId="5" borderId="0" xfId="0" applyNumberFormat="1" applyFont="1" applyFill="1" applyBorder="1" applyAlignment="1">
      <x:alignment horizontal="right" vertical="center" wrapText="1"/>
    </x:xf>
    <x:xf numFmtId="206" fontId="1" fillId="5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47239e747f4669" /><Relationship Type="http://schemas.openxmlformats.org/officeDocument/2006/relationships/theme" Target="/xl/theme/theme1.xml" Id="Rf87d7b43089940b8" /><Relationship Type="http://schemas.openxmlformats.org/officeDocument/2006/relationships/sharedStrings" Target="/xl/sharedStrings.xml" Id="Rcc6c7f4e3585462d" /><Relationship Type="http://schemas.openxmlformats.org/officeDocument/2006/relationships/worksheet" Target="/xl/worksheets/sheet1.xml" Id="R51d7c238e11f4d75" /><Relationship Type="http://schemas.openxmlformats.org/officeDocument/2006/relationships/worksheet" Target="/xl/worksheets/sheet2.xml" Id="Rc0322067ca1b41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7364B"/>
  </x:sheetPr>
  <x:sheetViews>
    <x:sheetView showGridLines="0" workbookViewId="0"/>
  </x:sheetViews>
  <x:sheetFormatPr defaultRowHeight="15"/>
  <x:cols>
    <x:col min="1" max="1" width="28.889999389648438" hidden="0" customWidth="1"/>
    <x:col min="2" max="2" width="28.889999389648438" hidden="0" customWidth="1"/>
    <x:col min="3" max="3" width="37.779998779296875" hidden="0" customWidth="1"/>
  </x:cols>
  <x:sheetData>
    <x:row r="1" ht="10" customHeight="1">
      <x:c r="A1" s="3"/>
      <x:c r="B1" s="3"/>
      <x:c r="C1" s="3"/>
    </x:row>
    <x:row r="2" ht="30" customHeight="1">
      <x:c r="A2" s="5" t="str">
        <x:v>AWS cost review</x:v>
      </x:c>
      <x:c r="B2" s="6"/>
      <x:c r="C2" s="6"/>
    </x:row>
    <x:row r="3" ht="28" customHeight="1">
      <x:c r="A3" s="7" t="str">
        <x:v>Anrotex. Save one workbook per workload and proposed change.</x:v>
      </x:c>
      <x:c r="B3" s="3"/>
      <x:c r="C3" s="3"/>
    </x:row>
    <x:row r="4" ht="28" customHeight="1">
      <x:c r="A4" s="7" t="str">
        <x:v>Yellow cells: your entries. Green cells: calculated or carried forward.</x:v>
      </x:c>
      <x:c r="B4" s="3"/>
      <x:c r="C4" s="3"/>
    </x:row>
    <x:row r="5" ht="28" customHeight="1">
      <x:c r="A5" s="10" t="str">
        <x:v>Review item</x:v>
      </x:c>
      <x:c r="B5" s="10" t="str">
        <x:v>Your entry</x:v>
      </x:c>
      <x:c r="C5" s="10" t="str">
        <x:v>How to complete it</x:v>
      </x:c>
    </x:row>
    <x:row r="6" ht="25" customHeight="1">
      <x:c r="A6" s="23" t="str">
        <x:v>1. Scope and baseline</x:v>
      </x:c>
      <x:c r="B6" s="23"/>
      <x:c r="C6" s="23"/>
    </x:row>
    <x:row r="7" ht="28" customHeight="1">
      <x:c r="A7" s="3" t="str">
        <x:v>Workload</x:v>
      </x:c>
      <x:c r="B7" s="11"/>
      <x:c r="C7" s="3" t="str">
        <x:v>Name the application or service.</x:v>
      </x:c>
    </x:row>
    <x:row r="8" ht="28" customHeight="1">
      <x:c r="A8" s="3" t="str">
        <x:v>Change owner</x:v>
      </x:c>
      <x:c r="B8" s="11"/>
      <x:c r="C8" s="3" t="str">
        <x:v>Who will approve and oversee the work?</x:v>
      </x:c>
    </x:row>
    <x:row r="9" ht="36" customHeight="1">
      <x:c r="A9" s="3" t="str">
        <x:v>Accounts and regions</x:v>
      </x:c>
      <x:c r="B9" s="11"/>
      <x:c r="C9" s="3" t="str">
        <x:v>Include every affected service. Account aliases are enough.</x:v>
      </x:c>
    </x:row>
    <x:row r="10" ht="28" customHeight="1">
      <x:c r="A10" s="3" t="str">
        <x:v>Currency</x:v>
      </x:c>
      <x:c r="B10" s="13"/>
      <x:c r="C10" s="3" t="str">
        <x:v>Use one currency throughout, such as USD.</x:v>
      </x:c>
    </x:row>
    <x:row r="11" ht="28" customHeight="1">
      <x:c r="A11" s="3" t="str">
        <x:v>Baseline start date</x:v>
      </x:c>
      <x:c r="B11" s="15"/>
      <x:c r="C11" s="3" t="str">
        <x:v>Use a complete, representative period.</x:v>
      </x:c>
    </x:row>
    <x:row r="12" ht="36" customHeight="1">
      <x:c r="A12" s="3" t="str">
        <x:v>Baseline end date</x:v>
      </x:c>
      <x:c r="B12" s="15"/>
      <x:c r="C12" s="3" t="str">
        <x:v>Include peaks, scheduled jobs and seasonal demand.</x:v>
      </x:c>
    </x:row>
    <x:row r="13" ht="36" customHeight="1">
      <x:c r="A13" s="3" t="str">
        <x:v>Cost basis</x:v>
      </x:c>
      <x:c r="B13" s="11"/>
      <x:c r="C13" s="3" t="str">
        <x:v>Name the cost view, such as net amortized cost. Use it consistently.</x:v>
      </x:c>
    </x:row>
    <x:row r="14" ht="28" customHeight="1">
      <x:c r="A14" s="3" t="str">
        <x:v>Billing evidence</x:v>
      </x:c>
      <x:c r="B14" s="11"/>
      <x:c r="C14" s="3" t="str">
        <x:v>Record the report, dates and filters used.</x:v>
      </x:c>
    </x:row>
    <x:row r="15" ht="36" customHeight="1">
      <x:c r="A15" s="3" t="str">
        <x:v>Workload unit</x:v>
      </x:c>
      <x:c r="B15" s="11"/>
      <x:c r="C15" s="3" t="str">
        <x:v>For example: successful transactions or jobs completed.</x:v>
      </x:c>
    </x:row>
    <x:row r="16" ht="28" customHeight="1">
      <x:c r="A16" s="3" t="str">
        <x:v>Baseline workload volume</x:v>
      </x:c>
      <x:c r="B16" s="17"/>
      <x:c r="C16" s="3" t="str">
        <x:v>Count the units delivered during the baseline period.</x:v>
      </x:c>
    </x:row>
    <x:row r="17" ht="36" customHeight="1">
      <x:c r="A17" s="3" t="str">
        <x:v>Baseline effective cost</x:v>
      </x:c>
      <x:c r="B17" s="19"/>
      <x:c r="C17" s="3" t="str">
        <x:v>Use the same period and scope as the workload volume.</x:v>
      </x:c>
    </x:row>
    <x:row r="18" ht="36" customHeight="1">
      <x:c r="A18" s="3" t="str">
        <x:v>Existing commitments</x:v>
      </x:c>
      <x:c r="B18" s="11"/>
      <x:c r="C18" s="3" t="str">
        <x:v>Note Savings Plans, reservations and unused coverage.</x:v>
      </x:c>
    </x:row>
    <x:row r="19" ht="28" customHeight="1">
      <x:c r="A19" s="3"/>
      <x:c r="B19" s="3"/>
      <x:c r="C19" s="3"/>
    </x:row>
    <x:row r="20" ht="25" customHeight="1">
      <x:c r="A20" s="23" t="str">
        <x:v>2. Estimate the change</x:v>
      </x:c>
      <x:c r="B20" s="23"/>
      <x:c r="C20" s="23"/>
    </x:row>
    <x:row r="21" ht="36" customHeight="1">
      <x:c r="A21" s="3" t="str">
        <x:v>Proposed change</x:v>
      </x:c>
      <x:c r="B21" s="11"/>
      <x:c r="C21" s="3" t="str">
        <x:v>Describe the final resource configuration and affected services.</x:v>
      </x:c>
    </x:row>
    <x:row r="22" ht="48" customHeight="1">
      <x:c r="A22" s="3" t="str">
        <x:v>Projected effective cost</x:v>
      </x:c>
      <x:c r="B22" s="19"/>
      <x:c r="C22" s="3" t="str">
        <x:v>Estimate at the baseline duration and workload volume. Include costs moved to other services.</x:v>
      </x:c>
    </x:row>
    <x:row r="23" ht="36" customHeight="1">
      <x:c r="A23" s="3" t="str">
        <x:v>Potential cost reduction</x:v>
      </x:c>
      <x:c r="B23" s="26" t="str">
        <x:f>IF(COUNT(B17,B22)&lt;2,"",B17-B22)</x:f>
      </x:c>
      <x:c r="C23" s="3" t="str">
        <x:v>Baseline less projected effective cost for the same period.</x:v>
      </x:c>
    </x:row>
    <x:row r="24" ht="36" customHeight="1">
      <x:c r="A24" s="3" t="str">
        <x:v>Potential reduction (%)</x:v>
      </x:c>
      <x:c r="B24" s="27" t="str">
        <x:f>IF(COUNT(B17,B22)&lt;2,"",IF(B17&lt;=0,"",B23/B17))</x:f>
      </x:c>
      <x:c r="C24" s="3" t="str">
        <x:v>Requires a positive baseline cost. A negative result means higher cost.</x:v>
      </x:c>
    </x:row>
    <x:row r="25" ht="48" customHeight="1">
      <x:c r="A25" s="3" t="str">
        <x:v>Expected cash-bill effect</x:v>
      </x:c>
      <x:c r="B25" s="11"/>
      <x:c r="C25" s="3" t="str">
        <x:v>Explain which payments will fall. Freed commitment coverage may not reduce the bill.</x:v>
      </x:c>
    </x:row>
    <x:row r="26" ht="36" customHeight="1">
      <x:c r="A26" s="3" t="str">
        <x:v>One-off implementation cost</x:v>
      </x:c>
      <x:c r="B26" s="19"/>
      <x:c r="C26" s="3" t="str">
        <x:v>Include engineering and testing. Enter 0 when none.</x:v>
      </x:c>
    </x:row>
    <x:row r="27" ht="48" customHeight="1">
      <x:c r="A27" s="3" t="str">
        <x:v>Estimate assumptions</x:v>
      </x:c>
      <x:c r="B27" s="11"/>
      <x:c r="C27" s="3" t="str">
        <x:v>Record rates, usage, coverage and overlapping recommendations. Count the combined change once.</x:v>
      </x:c>
    </x:row>
    <x:row r="28" ht="28" customHeight="1">
      <x:c r="A28" s="3"/>
      <x:c r="B28" s="3"/>
      <x:c r="C28" s="3"/>
    </x:row>
    <x:row r="29" ht="25" customHeight="1">
      <x:c r="A29" s="23" t="str">
        <x:v>3. Delivery and checks</x:v>
      </x:c>
      <x:c r="B29" s="23"/>
      <x:c r="C29" s="23"/>
    </x:row>
    <x:row r="30" ht="28" customHeight="1">
      <x:c r="A30" s="3" t="str">
        <x:v>Estimated effort (hours)</x:v>
      </x:c>
      <x:c r="B30" s="21"/>
      <x:c r="C30" s="3" t="str">
        <x:v>Include testing, rollout and handover.</x:v>
      </x:c>
    </x:row>
    <x:row r="31" ht="28" customHeight="1">
      <x:c r="A31" s="3" t="str">
        <x:v>Planned rollout date</x:v>
      </x:c>
      <x:c r="B31" s="15"/>
      <x:c r="C31" s="3" t="str">
        <x:v>Agree the change window with the owner.</x:v>
      </x:c>
    </x:row>
    <x:row r="32" ht="36" customHeight="1">
      <x:c r="A32" s="3" t="str">
        <x:v>Performance targets</x:v>
      </x:c>
      <x:c r="B32" s="11"/>
      <x:c r="C32" s="3" t="str">
        <x:v>Set latency, error, capacity and recovery limits.</x:v>
      </x:c>
    </x:row>
    <x:row r="33" ht="36" customHeight="1">
      <x:c r="A33" s="3" t="str">
        <x:v>Test and acceptance checks</x:v>
      </x:c>
      <x:c r="B33" s="11"/>
      <x:c r="C33" s="3" t="str">
        <x:v>Test peak load and failover. Record who accepts the result.</x:v>
      </x:c>
    </x:row>
    <x:row r="34" ht="36" customHeight="1">
      <x:c r="A34" s="3" t="str">
        <x:v>Recovery plan</x:v>
      </x:c>
      <x:c r="B34" s="11"/>
      <x:c r="C34" s="3" t="str">
        <x:v>State when to stop and how to restore the previous setup.</x:v>
      </x:c>
    </x:row>
    <x:row r="35" ht="36" customHeight="1">
      <x:c r="A35" s="3" t="str">
        <x:v>Review decision</x:v>
      </x:c>
      <x:c r="B35" s="11"/>
      <x:c r="C35" s="3" t="str">
        <x:v>Choose the next step after reviewing cost and performance.</x:v>
      </x:c>
    </x:row>
    <x:row r="36" ht="28" customHeight="1">
      <x:c r="A36" s="3"/>
      <x:c r="B36" s="3"/>
      <x:c r="C36" s="3"/>
    </x:row>
    <x:row r="37" ht="28" customHeight="1">
      <x:c r="A37" s="7" t="str">
        <x:v>Guide: https://www.anrotex.com/blog/reduce-aws-costs</x:v>
      </x:c>
      <x:c r="B37" s="3"/>
      <x:c r="C37" s="3"/>
    </x:row>
  </x:sheetData>
  <x:dataValidations count="1">
    <x:dataValidation type="list" sqref="B35">
      <x:formula1>"Review needed,Test proposed change,Ready for agreed rollout,Defer"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7F91"/>
  </x:sheetPr>
  <x:sheetViews>
    <x:sheetView showGridLines="0" workbookViewId="0"/>
  </x:sheetViews>
  <x:sheetFormatPr defaultRowHeight="15"/>
  <x:cols>
    <x:col min="1" max="1" width="28.889999389648438" hidden="0" customWidth="1"/>
    <x:col min="2" max="2" width="28.889999389648438" hidden="0" customWidth="1"/>
    <x:col min="3" max="3" width="37.779998779296875" hidden="0" customWidth="1"/>
  </x:cols>
  <x:sheetData>
    <x:row r="1" ht="10" customHeight="1">
      <x:c r="A1" s="3"/>
      <x:c r="B1" s="3"/>
      <x:c r="C1" s="3"/>
    </x:row>
    <x:row r="2" ht="30" customHeight="1">
      <x:c r="A2" s="5" t="str">
        <x:v>Measure the result</x:v>
      </x:c>
      <x:c r="B2" s="6"/>
      <x:c r="C2" s="6"/>
    </x:row>
    <x:row r="3" ht="28" customHeight="1">
      <x:c r="A3" s="7" t="str">
        <x:v>Anrotex. Complete this sheet after the change and a full observation period.</x:v>
      </x:c>
      <x:c r="B3" s="3"/>
      <x:c r="C3" s="3"/>
    </x:row>
    <x:row r="4" ht="28" customHeight="1">
      <x:c r="A4" s="7" t="str">
        <x:v>Yellow cells: your entries. Green cells: calculated or carried forward.</x:v>
      </x:c>
      <x:c r="B4" s="3"/>
      <x:c r="C4" s="3"/>
    </x:row>
    <x:row r="5" ht="28" customHeight="1">
      <x:c r="A5" s="10" t="str">
        <x:v>Measure</x:v>
      </x:c>
      <x:c r="B5" s="10" t="str">
        <x:v>Before / result</x:v>
      </x:c>
      <x:c r="C5" s="10" t="str">
        <x:v>After / guidance</x:v>
      </x:c>
    </x:row>
    <x:row r="6" ht="25" customHeight="1">
      <x:c r="A6" s="23" t="str">
        <x:v>1. Confirm the scope</x:v>
      </x:c>
      <x:c r="B6" s="23"/>
      <x:c r="C6" s="23"/>
    </x:row>
    <x:row r="7" ht="28" customHeight="1">
      <x:c r="A7" s="3" t="str">
        <x:v>Workload</x:v>
      </x:c>
      <x:c r="B7" s="29" t="str">
        <x:f>IF('Plan'!B7="","",'Plan'!B7)</x:f>
      </x:c>
      <x:c r="C7" s="3"/>
    </x:row>
    <x:row r="8" ht="28" customHeight="1">
      <x:c r="A8" s="3" t="str">
        <x:v>Currency</x:v>
      </x:c>
      <x:c r="B8" s="29" t="str">
        <x:f>IF('Plan'!B10="","",'Plan'!B10)</x:f>
      </x:c>
      <x:c r="C8" s="3"/>
    </x:row>
    <x:row r="9" ht="28" customHeight="1">
      <x:c r="A9" s="3" t="str">
        <x:v>Workload unit</x:v>
      </x:c>
      <x:c r="B9" s="29" t="str">
        <x:f>IF('Plan'!B15="","",'Plan'!B15)</x:f>
      </x:c>
      <x:c r="C9" s="3"/>
    </x:row>
    <x:row r="10" ht="28" customHeight="1">
      <x:c r="A10" s="3" t="str">
        <x:v>Cost basis</x:v>
      </x:c>
      <x:c r="B10" s="29" t="str">
        <x:f>IF('Plan'!B13="","",'Plan'!B13)</x:f>
      </x:c>
      <x:c r="C10" s="3"/>
    </x:row>
    <x:row r="11" ht="36" customHeight="1">
      <x:c r="A11" s="3" t="str">
        <x:v>Actual rollout date</x:v>
      </x:c>
      <x:c r="B11" s="15"/>
      <x:c r="C11" s="3" t="str">
        <x:v>Record when the change reached the measured workloads.</x:v>
      </x:c>
    </x:row>
    <x:row r="12" ht="25" customHeight="1">
      <x:c r="A12" s="23" t="str">
        <x:v>2. Compare the periods</x:v>
      </x:c>
      <x:c r="B12" s="23"/>
      <x:c r="C12" s="23"/>
    </x:row>
    <x:row r="13" ht="28" customHeight="1">
      <x:c r="A13" s="3" t="str">
        <x:v>Period start date</x:v>
      </x:c>
      <x:c r="B13" s="30" t="str">
        <x:f>IF('Plan'!B11="","",'Plan'!B11)</x:f>
      </x:c>
      <x:c r="C13" s="15"/>
    </x:row>
    <x:row r="14" ht="28" customHeight="1">
      <x:c r="A14" s="3" t="str">
        <x:v>Period end date</x:v>
      </x:c>
      <x:c r="B14" s="30" t="str">
        <x:f>IF('Plan'!B12="","",'Plan'!B12)</x:f>
      </x:c>
      <x:c r="C14" s="15"/>
    </x:row>
    <x:row r="15" ht="28" customHeight="1">
      <x:c r="A15" s="3" t="str">
        <x:v>Effective cost</x:v>
      </x:c>
      <x:c r="B15" s="26" t="str">
        <x:f>IF('Plan'!B17="","",'Plan'!B17)</x:f>
      </x:c>
      <x:c r="C15" s="19"/>
    </x:row>
    <x:row r="16" ht="28" customHeight="1">
      <x:c r="A16" s="3" t="str">
        <x:v>Workload volume</x:v>
      </x:c>
      <x:c r="B16" s="31" t="str">
        <x:f>IF('Plan'!B16="","",'Plan'!B16)</x:f>
      </x:c>
      <x:c r="C16" s="17"/>
    </x:row>
    <x:row r="17" ht="36" customHeight="1">
      <x:c r="A17" s="3" t="str">
        <x:v>Effective cost per workload unit</x:v>
      </x:c>
      <x:c r="B17" s="32" t="str">
        <x:f>IF(COUNT(B15:B16)&lt;2,"",IF(B16&lt;=0,"",B15/B16))</x:f>
      </x:c>
      <x:c r="C17" s="32" t="str">
        <x:f>IF(COUNT(C15:C16)&lt;2,"",IF(C16&lt;=0,"",C15/C16))</x:f>
      </x:c>
    </x:row>
    <x:row r="18" ht="36" customHeight="1">
      <x:c r="A18" s="3" t="str">
        <x:v>Cash billed for this scope (optional)</x:v>
      </x:c>
      <x:c r="B18" s="19"/>
      <x:c r="C18" s="19"/>
    </x:row>
    <x:row r="19" ht="28" customHeight="1">
      <x:c r="A19" s="3"/>
      <x:c r="B19" s="3"/>
      <x:c r="C19" s="3"/>
    </x:row>
    <x:row r="20" ht="25" customHeight="1">
      <x:c r="A20" s="23" t="str">
        <x:v>3. Read the cost changes</x:v>
      </x:c>
      <x:c r="B20" s="23"/>
      <x:c r="C20" s="23"/>
    </x:row>
    <x:row r="21" ht="48" customHeight="1">
      <x:c r="A21" s="3" t="str">
        <x:v>Unit-cost reduction (%)</x:v>
      </x:c>
      <x:c r="B21" s="27" t="str">
        <x:f>IF(COUNT(B17:C17)&lt;2,"",IF(B17&lt;=0,"",1-C17/B17))</x:f>
      </x:c>
      <x:c r="C21" s="3" t="str">
        <x:v>Before less after, divided by before. Requires positive baseline unit cost and workload volume.</x:v>
      </x:c>
    </x:row>
    <x:row r="22" ht="36" customHeight="1">
      <x:c r="A22" s="3" t="str">
        <x:v>Effective cost difference</x:v>
      </x:c>
      <x:c r="B22" s="26" t="str">
        <x:f>IF(COUNT(B15:C15)&lt;2,"",B15-C15)</x:f>
      </x:c>
      <x:c r="C22" s="3" t="str">
        <x:v>Before less after. Compare equal durations and review demand changes.</x:v>
      </x:c>
    </x:row>
    <x:row r="23" ht="36" customHeight="1">
      <x:c r="A23" s="3" t="str">
        <x:v>Actual one-off cost</x:v>
      </x:c>
      <x:c r="B23" s="19"/>
      <x:c r="C23" s="3" t="str">
        <x:v>Record engineering, testing and recovery costs separately.</x:v>
      </x:c>
    </x:row>
    <x:row r="24" ht="48" customHeight="1">
      <x:c r="A24" s="3" t="str">
        <x:v>Cash-bill difference</x:v>
      </x:c>
      <x:c r="B24" s="26" t="str">
        <x:f>IF(COUNT(B18:C18)&lt;2,"",B18-C18)</x:f>
      </x:c>
      <x:c r="C24" s="3" t="str">
        <x:v>Before less after. Check credits, rates and commitment payments before attributing savings.</x:v>
      </x:c>
    </x:row>
    <x:row r="25" ht="28" customHeight="1">
      <x:c r="A25" s="3"/>
      <x:c r="B25" s="3"/>
      <x:c r="C25" s="3"/>
    </x:row>
    <x:row r="26" ht="25" customHeight="1">
      <x:c r="A26" s="23" t="str">
        <x:v>4. Evidence and next step</x:v>
      </x:c>
      <x:c r="B26" s="23"/>
      <x:c r="C26" s="23"/>
    </x:row>
    <x:row r="27" ht="36" customHeight="1">
      <x:c r="A27" s="3" t="str">
        <x:v>What changed</x:v>
      </x:c>
      <x:c r="B27" s="11"/>
      <x:c r="C27" s="3" t="str">
        <x:v>Record resources, configuration and rollout dates.</x:v>
      </x:c>
    </x:row>
    <x:row r="28" ht="36" customHeight="1">
      <x:c r="A28" s="3" t="str">
        <x:v>Performance result</x:v>
      </x:c>
      <x:c r="B28" s="11"/>
      <x:c r="C28" s="3" t="str">
        <x:v>Compare with the agreed targets. Include peak and recovery checks.</x:v>
      </x:c>
    </x:row>
    <x:row r="29" ht="36" customHeight="1">
      <x:c r="A29" s="3" t="str">
        <x:v>Other cost drivers</x:v>
      </x:c>
      <x:c r="B29" s="11"/>
      <x:c r="C29" s="3" t="str">
        <x:v>Explain demand, rates, credits, coverage or unrelated changes.</x:v>
      </x:c>
    </x:row>
    <x:row r="30" ht="36" customHeight="1">
      <x:c r="A30" s="3" t="str">
        <x:v>Source reports</x:v>
      </x:c>
      <x:c r="B30" s="11"/>
      <x:c r="C30" s="3" t="str">
        <x:v>Record matching billing and workload reports, dates and filters.</x:v>
      </x:c>
    </x:row>
    <x:row r="31" ht="36" customHeight="1">
      <x:c r="A31" s="3" t="str">
        <x:v>Decision</x:v>
      </x:c>
      <x:c r="B31" s="11"/>
      <x:c r="C31" s="3" t="str">
        <x:v>Choose the next step after checking costs and performance.</x:v>
      </x:c>
    </x:row>
    <x:row r="32" ht="28" customHeight="1">
      <x:c r="A32" s="3" t="str">
        <x:v>Reviewed by</x:v>
      </x:c>
      <x:c r="B32" s="11"/>
      <x:c r="C32" s="3" t="str">
        <x:v>Name the person responsible for accepting the result.</x:v>
      </x:c>
    </x:row>
    <x:row r="33" ht="28" customHeight="1">
      <x:c r="A33" s="3" t="str">
        <x:v>Review date</x:v>
      </x:c>
      <x:c r="B33" s="15"/>
      <x:c r="C33" s="3" t="str">
        <x:v>Record when the evidence was reviewed.</x:v>
      </x:c>
    </x:row>
    <x:row r="34" ht="36" customHeight="1">
      <x:c r="A34" s="3" t="str">
        <x:v>Next action</x:v>
      </x:c>
      <x:c r="B34" s="11"/>
      <x:c r="C34" s="3" t="str">
        <x:v>Set an owner and date for any remaining work.</x:v>
      </x:c>
    </x:row>
    <x:row r="35" ht="28" customHeight="1">
      <x:c r="A35" s="3"/>
      <x:c r="B35" s="3"/>
      <x:c r="C35" s="3"/>
    </x:row>
    <x:row r="36" ht="28" customHeight="1">
      <x:c r="A36" s="7" t="str">
        <x:v>Keep this file with your team. Use the same currency, scope and cost basis in both periods.</x:v>
      </x:c>
      <x:c r="B36" s="3"/>
      <x:c r="C36" s="3"/>
    </x:row>
  </x:sheetData>
  <x:dataValidations count="1">
    <x:dataValidation type="list" sqref="B31">
      <x:formula1>"Keep change,Revise change,Restore previous setup,Measure for longer"</x:formula1>
    </x:dataValidation>
  </x:dataValidations>
  <x:pageMargins left="0.7" right="0.7" top="0.75" bottom="0.75" header="0.3" footer="0.3"/>
</x:worksheet>
</file>